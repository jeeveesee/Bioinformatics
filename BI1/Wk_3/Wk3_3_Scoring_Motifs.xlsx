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Entrop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N24" i="1"/>
  <c r="M24" i="1"/>
  <c r="L24" i="1"/>
  <c r="K24" i="1"/>
  <c r="J24" i="1"/>
  <c r="I24" i="1"/>
  <c r="H24" i="1"/>
  <c r="G24" i="1"/>
  <c r="F24" i="1"/>
  <c r="E24" i="1"/>
  <c r="D24" i="1"/>
  <c r="C24" i="1"/>
  <c r="B38" i="1"/>
  <c r="B37" i="1"/>
  <c r="B36" i="1"/>
  <c r="B35" i="1"/>
  <c r="B31" i="1"/>
  <c r="B30" i="1"/>
  <c r="B29" i="1"/>
  <c r="B28" i="1"/>
  <c r="K38" i="1"/>
  <c r="G38" i="1"/>
  <c r="N37" i="1"/>
  <c r="J37" i="1"/>
  <c r="F37" i="1"/>
  <c r="M36" i="1"/>
  <c r="I36" i="1"/>
  <c r="E36" i="1"/>
  <c r="C35" i="1"/>
  <c r="C29" i="1"/>
  <c r="C32" i="1" s="1"/>
  <c r="K28" i="1"/>
  <c r="K35" i="1" s="1"/>
  <c r="K39" i="1" s="1"/>
  <c r="G28" i="1"/>
  <c r="G35" i="1" s="1"/>
  <c r="G39" i="1" s="1"/>
  <c r="C28" i="1"/>
  <c r="E26" i="1"/>
  <c r="N23" i="1"/>
  <c r="N31" i="1" s="1"/>
  <c r="N38" i="1" s="1"/>
  <c r="M23" i="1"/>
  <c r="M31" i="1" s="1"/>
  <c r="M38" i="1" s="1"/>
  <c r="L23" i="1"/>
  <c r="L31" i="1" s="1"/>
  <c r="L38" i="1" s="1"/>
  <c r="K23" i="1"/>
  <c r="K31" i="1" s="1"/>
  <c r="J23" i="1"/>
  <c r="J31" i="1" s="1"/>
  <c r="J38" i="1" s="1"/>
  <c r="I23" i="1"/>
  <c r="I31" i="1" s="1"/>
  <c r="I38" i="1" s="1"/>
  <c r="H23" i="1"/>
  <c r="H31" i="1" s="1"/>
  <c r="H38" i="1" s="1"/>
  <c r="G23" i="1"/>
  <c r="G31" i="1" s="1"/>
  <c r="F23" i="1"/>
  <c r="F31" i="1" s="1"/>
  <c r="F38" i="1" s="1"/>
  <c r="E23" i="1"/>
  <c r="E31" i="1" s="1"/>
  <c r="E38" i="1" s="1"/>
  <c r="D23" i="1"/>
  <c r="D31" i="1" s="1"/>
  <c r="D38" i="1" s="1"/>
  <c r="C23" i="1"/>
  <c r="C31" i="1" s="1"/>
  <c r="C38" i="1" s="1"/>
  <c r="N22" i="1"/>
  <c r="N30" i="1" s="1"/>
  <c r="M22" i="1"/>
  <c r="M30" i="1" s="1"/>
  <c r="M37" i="1" s="1"/>
  <c r="L22" i="1"/>
  <c r="L30" i="1" s="1"/>
  <c r="L37" i="1" s="1"/>
  <c r="K22" i="1"/>
  <c r="K30" i="1" s="1"/>
  <c r="K37" i="1" s="1"/>
  <c r="J22" i="1"/>
  <c r="J30" i="1" s="1"/>
  <c r="I22" i="1"/>
  <c r="I30" i="1" s="1"/>
  <c r="I37" i="1" s="1"/>
  <c r="H22" i="1"/>
  <c r="H30" i="1" s="1"/>
  <c r="H37" i="1" s="1"/>
  <c r="G22" i="1"/>
  <c r="G30" i="1" s="1"/>
  <c r="G37" i="1" s="1"/>
  <c r="F22" i="1"/>
  <c r="F30" i="1" s="1"/>
  <c r="E22" i="1"/>
  <c r="E30" i="1" s="1"/>
  <c r="E37" i="1" s="1"/>
  <c r="D22" i="1"/>
  <c r="D30" i="1" s="1"/>
  <c r="D37" i="1" s="1"/>
  <c r="C22" i="1"/>
  <c r="C30" i="1" s="1"/>
  <c r="C37" i="1" s="1"/>
  <c r="N21" i="1"/>
  <c r="N29" i="1" s="1"/>
  <c r="N36" i="1" s="1"/>
  <c r="M21" i="1"/>
  <c r="M29" i="1" s="1"/>
  <c r="L21" i="1"/>
  <c r="L29" i="1" s="1"/>
  <c r="L36" i="1" s="1"/>
  <c r="K21" i="1"/>
  <c r="K29" i="1" s="1"/>
  <c r="K36" i="1" s="1"/>
  <c r="J21" i="1"/>
  <c r="J29" i="1" s="1"/>
  <c r="J36" i="1" s="1"/>
  <c r="I21" i="1"/>
  <c r="I29" i="1" s="1"/>
  <c r="H21" i="1"/>
  <c r="H29" i="1" s="1"/>
  <c r="H36" i="1" s="1"/>
  <c r="G21" i="1"/>
  <c r="G29" i="1" s="1"/>
  <c r="G36" i="1" s="1"/>
  <c r="F21" i="1"/>
  <c r="F29" i="1" s="1"/>
  <c r="F36" i="1" s="1"/>
  <c r="E21" i="1"/>
  <c r="E29" i="1" s="1"/>
  <c r="D21" i="1"/>
  <c r="D29" i="1" s="1"/>
  <c r="D36" i="1" s="1"/>
  <c r="C21" i="1"/>
  <c r="N20" i="1"/>
  <c r="N28" i="1" s="1"/>
  <c r="M20" i="1"/>
  <c r="M28" i="1" s="1"/>
  <c r="L20" i="1"/>
  <c r="L28" i="1" s="1"/>
  <c r="K20" i="1"/>
  <c r="J20" i="1"/>
  <c r="J28" i="1" s="1"/>
  <c r="I20" i="1"/>
  <c r="I28" i="1" s="1"/>
  <c r="H20" i="1"/>
  <c r="H28" i="1" s="1"/>
  <c r="G20" i="1"/>
  <c r="F20" i="1"/>
  <c r="F28" i="1" s="1"/>
  <c r="E20" i="1"/>
  <c r="E28" i="1" s="1"/>
  <c r="D20" i="1"/>
  <c r="D28" i="1" s="1"/>
  <c r="C20" i="1"/>
  <c r="E35" i="1" l="1"/>
  <c r="E39" i="1" s="1"/>
  <c r="E32" i="1"/>
  <c r="N35" i="1"/>
  <c r="N39" i="1" s="1"/>
  <c r="N32" i="1"/>
  <c r="I35" i="1"/>
  <c r="I39" i="1" s="1"/>
  <c r="I32" i="1"/>
  <c r="M35" i="1"/>
  <c r="M39" i="1" s="1"/>
  <c r="M32" i="1"/>
  <c r="F35" i="1"/>
  <c r="F39" i="1" s="1"/>
  <c r="F32" i="1"/>
  <c r="J35" i="1"/>
  <c r="J39" i="1" s="1"/>
  <c r="J32" i="1"/>
  <c r="D32" i="1"/>
  <c r="D35" i="1"/>
  <c r="D39" i="1" s="1"/>
  <c r="H32" i="1"/>
  <c r="H35" i="1"/>
  <c r="H39" i="1" s="1"/>
  <c r="L35" i="1"/>
  <c r="L39" i="1" s="1"/>
  <c r="L32" i="1"/>
  <c r="C36" i="1"/>
  <c r="C39" i="1" s="1"/>
  <c r="G32" i="1"/>
  <c r="K32" i="1"/>
</calcChain>
</file>

<file path=xl/sharedStrings.xml><?xml version="1.0" encoding="utf-8"?>
<sst xmlns="http://schemas.openxmlformats.org/spreadsheetml/2006/main" count="135" uniqueCount="17">
  <si>
    <t>Question:</t>
  </si>
  <si>
    <r>
      <t>Exercise Break:</t>
    </r>
    <r>
      <rPr>
        <sz val="11"/>
        <color theme="1"/>
        <rFont val="Calibri"/>
        <family val="2"/>
        <scheme val="minor"/>
      </rPr>
      <t xml:space="preserve"> Compute the entropy of the NF-κB motif matrix (reproduced below). Your answer should be accurate to within 0.002 of the correct response.</t>
    </r>
  </si>
  <si>
    <t>DNA string / kmer position --&gt;</t>
  </si>
  <si>
    <t>T</t>
  </si>
  <si>
    <t>C</t>
  </si>
  <si>
    <t>G</t>
  </si>
  <si>
    <t>A</t>
  </si>
  <si>
    <t>t</t>
  </si>
  <si>
    <t>a</t>
  </si>
  <si>
    <t>c</t>
  </si>
  <si>
    <t>g</t>
  </si>
  <si>
    <t>Count(Motifs)</t>
  </si>
  <si>
    <t>Profile(Motifs)</t>
  </si>
  <si>
    <t># of DNA Strings</t>
  </si>
  <si>
    <t>Check</t>
  </si>
  <si>
    <t>Entropy</t>
  </si>
  <si>
    <t>Total 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</si>
</sst>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A0388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0" fontId="0" fillId="0" borderId="12" xfId="0" applyBorder="1"/>
    <xf numFmtId="173" fontId="0" fillId="0" borderId="11" xfId="0" applyNumberFormat="1" applyBorder="1"/>
    <xf numFmtId="173" fontId="1" fillId="0" borderId="0" xfId="0" applyNumberFormat="1" applyFont="1"/>
    <xf numFmtId="173" fontId="1" fillId="2" borderId="0" xfId="0" applyNumberFormat="1" applyFont="1" applyFill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GridLines="0" tabSelected="1" topLeftCell="A19" workbookViewId="0">
      <selection activeCell="C40" sqref="C40"/>
    </sheetView>
  </sheetViews>
  <sheetFormatPr defaultRowHeight="14.6" x14ac:dyDescent="0.4"/>
  <cols>
    <col min="2" max="2" width="11.84375" bestFit="1" customWidth="1"/>
    <col min="3" max="14" width="9.84375" customWidth="1"/>
  </cols>
  <sheetData>
    <row r="1" spans="1:14" x14ac:dyDescent="0.4">
      <c r="A1" s="3" t="s">
        <v>0</v>
      </c>
    </row>
    <row r="2" spans="1:14" x14ac:dyDescent="0.4">
      <c r="A2" s="1" t="s">
        <v>1</v>
      </c>
    </row>
    <row r="4" spans="1:14" x14ac:dyDescent="0.4">
      <c r="A4" s="4" t="s">
        <v>2</v>
      </c>
    </row>
    <row r="5" spans="1:14" x14ac:dyDescent="0.4">
      <c r="B5" s="16"/>
      <c r="C5" s="15">
        <v>0</v>
      </c>
      <c r="D5" s="15">
        <v>1</v>
      </c>
      <c r="E5" s="15">
        <v>2</v>
      </c>
      <c r="F5" s="15">
        <v>3</v>
      </c>
      <c r="G5" s="15">
        <v>4</v>
      </c>
      <c r="H5" s="15">
        <v>5</v>
      </c>
      <c r="I5" s="15">
        <v>6</v>
      </c>
      <c r="J5" s="15">
        <v>7</v>
      </c>
      <c r="K5" s="15">
        <v>8</v>
      </c>
      <c r="L5" s="15">
        <v>9</v>
      </c>
      <c r="M5" s="15">
        <v>10</v>
      </c>
      <c r="N5" s="15">
        <v>11</v>
      </c>
    </row>
    <row r="6" spans="1:14" x14ac:dyDescent="0.4">
      <c r="B6" s="12">
        <v>0</v>
      </c>
      <c r="C6" s="6" t="s">
        <v>3</v>
      </c>
      <c r="D6" s="7" t="s">
        <v>4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10</v>
      </c>
      <c r="J6" s="7" t="s">
        <v>3</v>
      </c>
      <c r="K6" s="7" t="s">
        <v>3</v>
      </c>
      <c r="L6" s="7" t="s">
        <v>3</v>
      </c>
      <c r="M6" s="7" t="s">
        <v>7</v>
      </c>
      <c r="N6" s="7" t="s">
        <v>7</v>
      </c>
    </row>
    <row r="7" spans="1:14" x14ac:dyDescent="0.4">
      <c r="B7" s="13">
        <v>1</v>
      </c>
      <c r="C7" s="8" t="s">
        <v>9</v>
      </c>
      <c r="D7" s="9" t="s">
        <v>4</v>
      </c>
      <c r="E7" s="7" t="s">
        <v>5</v>
      </c>
      <c r="F7" s="7" t="s">
        <v>5</v>
      </c>
      <c r="G7" s="9" t="s">
        <v>7</v>
      </c>
      <c r="H7" s="9" t="s">
        <v>5</v>
      </c>
      <c r="I7" s="9" t="s">
        <v>6</v>
      </c>
      <c r="J7" s="9" t="s">
        <v>9</v>
      </c>
      <c r="K7" s="9" t="s">
        <v>3</v>
      </c>
      <c r="L7" s="9" t="s">
        <v>3</v>
      </c>
      <c r="M7" s="9" t="s">
        <v>8</v>
      </c>
      <c r="N7" s="9" t="s">
        <v>4</v>
      </c>
    </row>
    <row r="8" spans="1:14" x14ac:dyDescent="0.4">
      <c r="B8" s="13">
        <v>2</v>
      </c>
      <c r="C8" s="8" t="s">
        <v>8</v>
      </c>
      <c r="D8" s="9" t="s">
        <v>4</v>
      </c>
      <c r="E8" s="7" t="s">
        <v>5</v>
      </c>
      <c r="F8" s="7" t="s">
        <v>5</v>
      </c>
      <c r="G8" s="9" t="s">
        <v>5</v>
      </c>
      <c r="H8" s="9" t="s">
        <v>5</v>
      </c>
      <c r="I8" s="9" t="s">
        <v>6</v>
      </c>
      <c r="J8" s="9" t="s">
        <v>3</v>
      </c>
      <c r="K8" s="9" t="s">
        <v>3</v>
      </c>
      <c r="L8" s="9" t="s">
        <v>3</v>
      </c>
      <c r="M8" s="9" t="s">
        <v>7</v>
      </c>
      <c r="N8" s="9" t="s">
        <v>4</v>
      </c>
    </row>
    <row r="9" spans="1:14" x14ac:dyDescent="0.4">
      <c r="B9" s="13">
        <v>3</v>
      </c>
      <c r="C9" s="8" t="s">
        <v>3</v>
      </c>
      <c r="D9" s="9" t="s">
        <v>7</v>
      </c>
      <c r="E9" s="7" t="s">
        <v>5</v>
      </c>
      <c r="F9" s="7" t="s">
        <v>5</v>
      </c>
      <c r="G9" s="9" t="s">
        <v>5</v>
      </c>
      <c r="H9" s="9" t="s">
        <v>5</v>
      </c>
      <c r="I9" s="9" t="s">
        <v>6</v>
      </c>
      <c r="J9" s="9" t="s">
        <v>9</v>
      </c>
      <c r="K9" s="9" t="s">
        <v>3</v>
      </c>
      <c r="L9" s="9" t="s">
        <v>3</v>
      </c>
      <c r="M9" s="9" t="s">
        <v>7</v>
      </c>
      <c r="N9" s="9" t="s">
        <v>7</v>
      </c>
    </row>
    <row r="10" spans="1:14" x14ac:dyDescent="0.4">
      <c r="B10" s="13">
        <v>4</v>
      </c>
      <c r="C10" s="8" t="s">
        <v>8</v>
      </c>
      <c r="D10" s="9" t="s">
        <v>8</v>
      </c>
      <c r="E10" s="7" t="s">
        <v>5</v>
      </c>
      <c r="F10" s="7" t="s">
        <v>5</v>
      </c>
      <c r="G10" s="9" t="s">
        <v>5</v>
      </c>
      <c r="H10" s="9" t="s">
        <v>5</v>
      </c>
      <c r="I10" s="9" t="s">
        <v>6</v>
      </c>
      <c r="J10" s="9" t="s">
        <v>9</v>
      </c>
      <c r="K10" s="9" t="s">
        <v>3</v>
      </c>
      <c r="L10" s="9" t="s">
        <v>3</v>
      </c>
      <c r="M10" s="9" t="s">
        <v>4</v>
      </c>
      <c r="N10" s="9" t="s">
        <v>4</v>
      </c>
    </row>
    <row r="11" spans="1:14" x14ac:dyDescent="0.4">
      <c r="B11" s="13">
        <v>5</v>
      </c>
      <c r="C11" s="8" t="s">
        <v>3</v>
      </c>
      <c r="D11" s="9" t="s">
        <v>7</v>
      </c>
      <c r="E11" s="7" t="s">
        <v>5</v>
      </c>
      <c r="F11" s="7" t="s">
        <v>5</v>
      </c>
      <c r="G11" s="9" t="s">
        <v>5</v>
      </c>
      <c r="H11" s="9" t="s">
        <v>5</v>
      </c>
      <c r="I11" s="9" t="s">
        <v>6</v>
      </c>
      <c r="J11" s="9" t="s">
        <v>9</v>
      </c>
      <c r="K11" s="9" t="s">
        <v>3</v>
      </c>
      <c r="L11" s="9" t="s">
        <v>3</v>
      </c>
      <c r="M11" s="9" t="s">
        <v>4</v>
      </c>
      <c r="N11" s="9" t="s">
        <v>4</v>
      </c>
    </row>
    <row r="12" spans="1:14" x14ac:dyDescent="0.4">
      <c r="B12" s="13">
        <v>6</v>
      </c>
      <c r="C12" s="8" t="s">
        <v>3</v>
      </c>
      <c r="D12" s="9" t="s">
        <v>4</v>
      </c>
      <c r="E12" s="7" t="s">
        <v>5</v>
      </c>
      <c r="F12" s="7" t="s">
        <v>5</v>
      </c>
      <c r="G12" s="9" t="s">
        <v>5</v>
      </c>
      <c r="H12" s="9" t="s">
        <v>5</v>
      </c>
      <c r="I12" s="9" t="s">
        <v>6</v>
      </c>
      <c r="J12" s="9" t="s">
        <v>3</v>
      </c>
      <c r="K12" s="9" t="s">
        <v>3</v>
      </c>
      <c r="L12" s="9" t="s">
        <v>9</v>
      </c>
      <c r="M12" s="9" t="s">
        <v>8</v>
      </c>
      <c r="N12" s="9" t="s">
        <v>7</v>
      </c>
    </row>
    <row r="13" spans="1:14" x14ac:dyDescent="0.4">
      <c r="B13" s="13">
        <v>7</v>
      </c>
      <c r="C13" s="8" t="s">
        <v>3</v>
      </c>
      <c r="D13" s="9" t="s">
        <v>4</v>
      </c>
      <c r="E13" s="7" t="s">
        <v>5</v>
      </c>
      <c r="F13" s="7" t="s">
        <v>5</v>
      </c>
      <c r="G13" s="9" t="s">
        <v>5</v>
      </c>
      <c r="H13" s="9" t="s">
        <v>5</v>
      </c>
      <c r="I13" s="9" t="s">
        <v>6</v>
      </c>
      <c r="J13" s="9" t="s">
        <v>3</v>
      </c>
      <c r="K13" s="9" t="s">
        <v>3</v>
      </c>
      <c r="L13" s="9" t="s">
        <v>9</v>
      </c>
      <c r="M13" s="9" t="s">
        <v>4</v>
      </c>
      <c r="N13" s="9" t="s">
        <v>7</v>
      </c>
    </row>
    <row r="14" spans="1:14" x14ac:dyDescent="0.4">
      <c r="B14" s="13">
        <v>8</v>
      </c>
      <c r="C14" s="8" t="s">
        <v>3</v>
      </c>
      <c r="D14" s="9" t="s">
        <v>8</v>
      </c>
      <c r="E14" s="7" t="s">
        <v>5</v>
      </c>
      <c r="F14" s="7" t="s">
        <v>5</v>
      </c>
      <c r="G14" s="9" t="s">
        <v>5</v>
      </c>
      <c r="H14" s="9" t="s">
        <v>5</v>
      </c>
      <c r="I14" s="9" t="s">
        <v>6</v>
      </c>
      <c r="J14" s="9" t="s">
        <v>8</v>
      </c>
      <c r="K14" s="9" t="s">
        <v>9</v>
      </c>
      <c r="L14" s="9" t="s">
        <v>3</v>
      </c>
      <c r="M14" s="9" t="s">
        <v>8</v>
      </c>
      <c r="N14" s="9" t="s">
        <v>4</v>
      </c>
    </row>
    <row r="15" spans="1:14" x14ac:dyDescent="0.4">
      <c r="B15" s="14">
        <v>9</v>
      </c>
      <c r="C15" s="10" t="s">
        <v>3</v>
      </c>
      <c r="D15" s="11" t="s">
        <v>4</v>
      </c>
      <c r="E15" s="11" t="s">
        <v>5</v>
      </c>
      <c r="F15" s="11" t="s">
        <v>5</v>
      </c>
      <c r="G15" s="11" t="s">
        <v>5</v>
      </c>
      <c r="H15" s="11" t="s">
        <v>7</v>
      </c>
      <c r="I15" s="11" t="s">
        <v>6</v>
      </c>
      <c r="J15" s="11" t="s">
        <v>3</v>
      </c>
      <c r="K15" s="11" t="s">
        <v>8</v>
      </c>
      <c r="L15" s="11" t="s">
        <v>8</v>
      </c>
      <c r="M15" s="11" t="s">
        <v>4</v>
      </c>
      <c r="N15" s="11" t="s">
        <v>4</v>
      </c>
    </row>
    <row r="18" spans="1:14" x14ac:dyDescent="0.4">
      <c r="A18" s="2" t="s">
        <v>11</v>
      </c>
    </row>
    <row r="20" spans="1:14" x14ac:dyDescent="0.4">
      <c r="B20" s="5" t="s">
        <v>6</v>
      </c>
      <c r="C20" s="17">
        <f>COUNTIF(C$6:C$15,$B20)</f>
        <v>2</v>
      </c>
      <c r="D20" s="17">
        <f t="shared" ref="D20:N23" si="0">COUNTIF(D$6:D$15,$B20)</f>
        <v>2</v>
      </c>
      <c r="E20" s="17">
        <f t="shared" si="0"/>
        <v>0</v>
      </c>
      <c r="F20" s="17">
        <f t="shared" si="0"/>
        <v>0</v>
      </c>
      <c r="G20" s="17">
        <f t="shared" si="0"/>
        <v>0</v>
      </c>
      <c r="H20" s="17">
        <f t="shared" si="0"/>
        <v>0</v>
      </c>
      <c r="I20" s="17">
        <f t="shared" si="0"/>
        <v>9</v>
      </c>
      <c r="J20" s="17">
        <f t="shared" si="0"/>
        <v>1</v>
      </c>
      <c r="K20" s="17">
        <f t="shared" si="0"/>
        <v>1</v>
      </c>
      <c r="L20" s="17">
        <f t="shared" si="0"/>
        <v>1</v>
      </c>
      <c r="M20" s="17">
        <f t="shared" si="0"/>
        <v>3</v>
      </c>
      <c r="N20" s="17">
        <f t="shared" si="0"/>
        <v>0</v>
      </c>
    </row>
    <row r="21" spans="1:14" x14ac:dyDescent="0.4">
      <c r="B21" s="5" t="s">
        <v>4</v>
      </c>
      <c r="C21" s="17">
        <f t="shared" ref="C21:C23" si="1">COUNTIF(C$6:C$15,$B21)</f>
        <v>1</v>
      </c>
      <c r="D21" s="17">
        <f t="shared" si="0"/>
        <v>6</v>
      </c>
      <c r="E21" s="17">
        <f t="shared" si="0"/>
        <v>0</v>
      </c>
      <c r="F21" s="17">
        <f t="shared" si="0"/>
        <v>0</v>
      </c>
      <c r="G21" s="17">
        <f t="shared" si="0"/>
        <v>0</v>
      </c>
      <c r="H21" s="17">
        <f t="shared" si="0"/>
        <v>0</v>
      </c>
      <c r="I21" s="17">
        <f t="shared" si="0"/>
        <v>0</v>
      </c>
      <c r="J21" s="17">
        <f t="shared" si="0"/>
        <v>4</v>
      </c>
      <c r="K21" s="17">
        <f t="shared" si="0"/>
        <v>1</v>
      </c>
      <c r="L21" s="17">
        <f t="shared" si="0"/>
        <v>2</v>
      </c>
      <c r="M21" s="17">
        <f t="shared" si="0"/>
        <v>4</v>
      </c>
      <c r="N21" s="17">
        <f t="shared" si="0"/>
        <v>6</v>
      </c>
    </row>
    <row r="22" spans="1:14" x14ac:dyDescent="0.4">
      <c r="B22" s="5" t="s">
        <v>5</v>
      </c>
      <c r="C22" s="17">
        <f t="shared" si="1"/>
        <v>0</v>
      </c>
      <c r="D22" s="17">
        <f t="shared" si="0"/>
        <v>0</v>
      </c>
      <c r="E22" s="17">
        <f t="shared" si="0"/>
        <v>10</v>
      </c>
      <c r="F22" s="17">
        <f t="shared" si="0"/>
        <v>10</v>
      </c>
      <c r="G22" s="17">
        <f t="shared" si="0"/>
        <v>9</v>
      </c>
      <c r="H22" s="17">
        <f t="shared" si="0"/>
        <v>9</v>
      </c>
      <c r="I22" s="17">
        <f t="shared" si="0"/>
        <v>1</v>
      </c>
      <c r="J22" s="17">
        <f t="shared" si="0"/>
        <v>0</v>
      </c>
      <c r="K22" s="17">
        <f t="shared" si="0"/>
        <v>0</v>
      </c>
      <c r="L22" s="17">
        <f t="shared" si="0"/>
        <v>0</v>
      </c>
      <c r="M22" s="17">
        <f t="shared" si="0"/>
        <v>0</v>
      </c>
      <c r="N22" s="17">
        <f t="shared" si="0"/>
        <v>0</v>
      </c>
    </row>
    <row r="23" spans="1:14" x14ac:dyDescent="0.4">
      <c r="B23" s="5" t="s">
        <v>3</v>
      </c>
      <c r="C23" s="17">
        <f t="shared" si="1"/>
        <v>7</v>
      </c>
      <c r="D23" s="17">
        <f t="shared" si="0"/>
        <v>2</v>
      </c>
      <c r="E23" s="17">
        <f t="shared" si="0"/>
        <v>0</v>
      </c>
      <c r="F23" s="17">
        <f t="shared" si="0"/>
        <v>0</v>
      </c>
      <c r="G23" s="17">
        <f t="shared" si="0"/>
        <v>1</v>
      </c>
      <c r="H23" s="17">
        <f t="shared" si="0"/>
        <v>1</v>
      </c>
      <c r="I23" s="17">
        <f t="shared" si="0"/>
        <v>0</v>
      </c>
      <c r="J23" s="17">
        <f t="shared" si="0"/>
        <v>5</v>
      </c>
      <c r="K23" s="17">
        <f t="shared" si="0"/>
        <v>8</v>
      </c>
      <c r="L23" s="17">
        <f t="shared" si="0"/>
        <v>7</v>
      </c>
      <c r="M23" s="17">
        <f t="shared" si="0"/>
        <v>3</v>
      </c>
      <c r="N23" s="17">
        <f t="shared" si="0"/>
        <v>4</v>
      </c>
    </row>
    <row r="24" spans="1:14" x14ac:dyDescent="0.4">
      <c r="B24" s="19" t="s">
        <v>14</v>
      </c>
      <c r="C24" s="18" t="b">
        <f>SUM(C20:C23)=$E$26</f>
        <v>1</v>
      </c>
      <c r="D24" s="18" t="b">
        <f t="shared" ref="D24:N24" si="2">SUM(D20:D23)=$E$26</f>
        <v>1</v>
      </c>
      <c r="E24" s="18" t="b">
        <f t="shared" si="2"/>
        <v>1</v>
      </c>
      <c r="F24" s="18" t="b">
        <f t="shared" si="2"/>
        <v>1</v>
      </c>
      <c r="G24" s="18" t="b">
        <f t="shared" si="2"/>
        <v>1</v>
      </c>
      <c r="H24" s="18" t="b">
        <f t="shared" si="2"/>
        <v>1</v>
      </c>
      <c r="I24" s="18" t="b">
        <f t="shared" si="2"/>
        <v>1</v>
      </c>
      <c r="J24" s="18" t="b">
        <f t="shared" si="2"/>
        <v>1</v>
      </c>
      <c r="K24" s="18" t="b">
        <f t="shared" si="2"/>
        <v>1</v>
      </c>
      <c r="L24" s="18" t="b">
        <f t="shared" si="2"/>
        <v>1</v>
      </c>
      <c r="M24" s="18" t="b">
        <f t="shared" si="2"/>
        <v>1</v>
      </c>
      <c r="N24" s="18" t="b">
        <f t="shared" si="2"/>
        <v>1</v>
      </c>
    </row>
    <row r="26" spans="1:14" x14ac:dyDescent="0.4">
      <c r="A26" s="2" t="s">
        <v>12</v>
      </c>
      <c r="C26" s="2" t="s">
        <v>13</v>
      </c>
      <c r="E26" s="20">
        <f>COUNTA(C6:C15)</f>
        <v>10</v>
      </c>
    </row>
    <row r="28" spans="1:14" x14ac:dyDescent="0.4">
      <c r="B28" s="5" t="str">
        <f>B20</f>
        <v>A</v>
      </c>
      <c r="C28" s="17">
        <f>C20/$E$26</f>
        <v>0.2</v>
      </c>
      <c r="D28" s="17">
        <f t="shared" ref="D28:N28" si="3">D20/$E$26</f>
        <v>0.2</v>
      </c>
      <c r="E28" s="17">
        <f t="shared" si="3"/>
        <v>0</v>
      </c>
      <c r="F28" s="17">
        <f t="shared" si="3"/>
        <v>0</v>
      </c>
      <c r="G28" s="17">
        <f t="shared" si="3"/>
        <v>0</v>
      </c>
      <c r="H28" s="17">
        <f t="shared" si="3"/>
        <v>0</v>
      </c>
      <c r="I28" s="17">
        <f t="shared" si="3"/>
        <v>0.9</v>
      </c>
      <c r="J28" s="17">
        <f t="shared" si="3"/>
        <v>0.1</v>
      </c>
      <c r="K28" s="17">
        <f t="shared" si="3"/>
        <v>0.1</v>
      </c>
      <c r="L28" s="17">
        <f t="shared" si="3"/>
        <v>0.1</v>
      </c>
      <c r="M28" s="17">
        <f t="shared" si="3"/>
        <v>0.3</v>
      </c>
      <c r="N28" s="17">
        <f t="shared" si="3"/>
        <v>0</v>
      </c>
    </row>
    <row r="29" spans="1:14" x14ac:dyDescent="0.4">
      <c r="B29" s="5" t="str">
        <f t="shared" ref="B29:B31" si="4">B21</f>
        <v>C</v>
      </c>
      <c r="C29" s="17">
        <f t="shared" ref="C29:N29" si="5">C21/$E$26</f>
        <v>0.1</v>
      </c>
      <c r="D29" s="17">
        <f t="shared" si="5"/>
        <v>0.6</v>
      </c>
      <c r="E29" s="17">
        <f t="shared" si="5"/>
        <v>0</v>
      </c>
      <c r="F29" s="17">
        <f t="shared" si="5"/>
        <v>0</v>
      </c>
      <c r="G29" s="17">
        <f t="shared" si="5"/>
        <v>0</v>
      </c>
      <c r="H29" s="17">
        <f t="shared" si="5"/>
        <v>0</v>
      </c>
      <c r="I29" s="17">
        <f t="shared" si="5"/>
        <v>0</v>
      </c>
      <c r="J29" s="17">
        <f t="shared" si="5"/>
        <v>0.4</v>
      </c>
      <c r="K29" s="17">
        <f t="shared" si="5"/>
        <v>0.1</v>
      </c>
      <c r="L29" s="17">
        <f t="shared" si="5"/>
        <v>0.2</v>
      </c>
      <c r="M29" s="17">
        <f t="shared" si="5"/>
        <v>0.4</v>
      </c>
      <c r="N29" s="17">
        <f t="shared" si="5"/>
        <v>0.6</v>
      </c>
    </row>
    <row r="30" spans="1:14" x14ac:dyDescent="0.4">
      <c r="B30" s="5" t="str">
        <f t="shared" si="4"/>
        <v>G</v>
      </c>
      <c r="C30" s="17">
        <f t="shared" ref="C30:N30" si="6">C22/$E$26</f>
        <v>0</v>
      </c>
      <c r="D30" s="17">
        <f t="shared" si="6"/>
        <v>0</v>
      </c>
      <c r="E30" s="17">
        <f t="shared" si="6"/>
        <v>1</v>
      </c>
      <c r="F30" s="17">
        <f t="shared" si="6"/>
        <v>1</v>
      </c>
      <c r="G30" s="17">
        <f t="shared" si="6"/>
        <v>0.9</v>
      </c>
      <c r="H30" s="17">
        <f t="shared" si="6"/>
        <v>0.9</v>
      </c>
      <c r="I30" s="17">
        <f t="shared" si="6"/>
        <v>0.1</v>
      </c>
      <c r="J30" s="17">
        <f t="shared" si="6"/>
        <v>0</v>
      </c>
      <c r="K30" s="17">
        <f t="shared" si="6"/>
        <v>0</v>
      </c>
      <c r="L30" s="17">
        <f t="shared" si="6"/>
        <v>0</v>
      </c>
      <c r="M30" s="17">
        <f t="shared" si="6"/>
        <v>0</v>
      </c>
      <c r="N30" s="17">
        <f t="shared" si="6"/>
        <v>0</v>
      </c>
    </row>
    <row r="31" spans="1:14" x14ac:dyDescent="0.4">
      <c r="B31" s="5" t="str">
        <f t="shared" si="4"/>
        <v>T</v>
      </c>
      <c r="C31" s="17">
        <f t="shared" ref="C31:N31" si="7">C23/$E$26</f>
        <v>0.7</v>
      </c>
      <c r="D31" s="17">
        <f t="shared" si="7"/>
        <v>0.2</v>
      </c>
      <c r="E31" s="17">
        <f t="shared" si="7"/>
        <v>0</v>
      </c>
      <c r="F31" s="17">
        <f t="shared" si="7"/>
        <v>0</v>
      </c>
      <c r="G31" s="17">
        <f t="shared" si="7"/>
        <v>0.1</v>
      </c>
      <c r="H31" s="17">
        <f t="shared" si="7"/>
        <v>0.1</v>
      </c>
      <c r="I31" s="17">
        <f t="shared" si="7"/>
        <v>0</v>
      </c>
      <c r="J31" s="17">
        <f t="shared" si="7"/>
        <v>0.5</v>
      </c>
      <c r="K31" s="17">
        <f t="shared" si="7"/>
        <v>0.8</v>
      </c>
      <c r="L31" s="17">
        <f t="shared" si="7"/>
        <v>0.7</v>
      </c>
      <c r="M31" s="17">
        <f t="shared" si="7"/>
        <v>0.3</v>
      </c>
      <c r="N31" s="17">
        <f t="shared" si="7"/>
        <v>0.4</v>
      </c>
    </row>
    <row r="32" spans="1:14" x14ac:dyDescent="0.4">
      <c r="B32" s="19" t="s">
        <v>14</v>
      </c>
      <c r="C32" s="18" t="b">
        <f>SUM(C28:C31) = 1</f>
        <v>1</v>
      </c>
      <c r="D32" s="18" t="b">
        <f t="shared" ref="D32:N32" si="8">SUM(D28:D31) = 1</f>
        <v>1</v>
      </c>
      <c r="E32" s="18" t="b">
        <f t="shared" si="8"/>
        <v>1</v>
      </c>
      <c r="F32" s="18" t="b">
        <f t="shared" si="8"/>
        <v>1</v>
      </c>
      <c r="G32" s="18" t="b">
        <f t="shared" si="8"/>
        <v>1</v>
      </c>
      <c r="H32" s="18" t="b">
        <f t="shared" si="8"/>
        <v>1</v>
      </c>
      <c r="I32" s="18" t="b">
        <f t="shared" si="8"/>
        <v>1</v>
      </c>
      <c r="J32" s="18" t="b">
        <f t="shared" si="8"/>
        <v>1</v>
      </c>
      <c r="K32" s="18" t="b">
        <f t="shared" si="8"/>
        <v>1</v>
      </c>
      <c r="L32" s="18" t="b">
        <f t="shared" si="8"/>
        <v>1</v>
      </c>
      <c r="M32" s="18" t="b">
        <f t="shared" si="8"/>
        <v>1</v>
      </c>
      <c r="N32" s="18" t="b">
        <f t="shared" si="8"/>
        <v>1</v>
      </c>
    </row>
    <row r="34" spans="1:14" x14ac:dyDescent="0.4">
      <c r="A34" s="2" t="s">
        <v>15</v>
      </c>
    </row>
    <row r="35" spans="1:14" x14ac:dyDescent="0.4">
      <c r="B35" s="5" t="str">
        <f>B20</f>
        <v>A</v>
      </c>
      <c r="C35" s="21">
        <f>-(C28*IF(C28 = 0, 0, LOG(C28,2)))</f>
        <v>0.46438561897747244</v>
      </c>
      <c r="D35" s="21">
        <f t="shared" ref="D35:N35" si="9">-(D28*IF(D28 = 0, 0, LOG(D28,2)))</f>
        <v>0.46438561897747244</v>
      </c>
      <c r="E35" s="21">
        <f t="shared" si="9"/>
        <v>0</v>
      </c>
      <c r="F35" s="21">
        <f t="shared" si="9"/>
        <v>0</v>
      </c>
      <c r="G35" s="21">
        <f t="shared" si="9"/>
        <v>0</v>
      </c>
      <c r="H35" s="21">
        <f t="shared" si="9"/>
        <v>0</v>
      </c>
      <c r="I35" s="21">
        <f t="shared" si="9"/>
        <v>0.13680278410054497</v>
      </c>
      <c r="J35" s="21">
        <f t="shared" si="9"/>
        <v>0.33219280948873625</v>
      </c>
      <c r="K35" s="21">
        <f t="shared" si="9"/>
        <v>0.33219280948873625</v>
      </c>
      <c r="L35" s="21">
        <f t="shared" si="9"/>
        <v>0.33219280948873625</v>
      </c>
      <c r="M35" s="21">
        <f t="shared" si="9"/>
        <v>0.52108967824986185</v>
      </c>
      <c r="N35" s="21">
        <f t="shared" si="9"/>
        <v>0</v>
      </c>
    </row>
    <row r="36" spans="1:14" x14ac:dyDescent="0.4">
      <c r="B36" s="5" t="str">
        <f t="shared" ref="B36:B38" si="10">B21</f>
        <v>C</v>
      </c>
      <c r="C36" s="21">
        <f t="shared" ref="C36:N38" si="11">-(C29*IF(C29 = 0, 0, LOG(C29,2)))</f>
        <v>0.33219280948873625</v>
      </c>
      <c r="D36" s="21">
        <f t="shared" si="11"/>
        <v>0.44217935649972373</v>
      </c>
      <c r="E36" s="21">
        <f t="shared" si="11"/>
        <v>0</v>
      </c>
      <c r="F36" s="21">
        <f t="shared" si="11"/>
        <v>0</v>
      </c>
      <c r="G36" s="21">
        <f t="shared" si="11"/>
        <v>0</v>
      </c>
      <c r="H36" s="21">
        <f t="shared" si="11"/>
        <v>0</v>
      </c>
      <c r="I36" s="21">
        <f t="shared" si="11"/>
        <v>0</v>
      </c>
      <c r="J36" s="21">
        <f t="shared" si="11"/>
        <v>0.52877123795494485</v>
      </c>
      <c r="K36" s="21">
        <f t="shared" si="11"/>
        <v>0.33219280948873625</v>
      </c>
      <c r="L36" s="21">
        <f t="shared" si="11"/>
        <v>0.46438561897747244</v>
      </c>
      <c r="M36" s="21">
        <f t="shared" si="11"/>
        <v>0.52877123795494485</v>
      </c>
      <c r="N36" s="21">
        <f t="shared" si="11"/>
        <v>0.44217935649972373</v>
      </c>
    </row>
    <row r="37" spans="1:14" x14ac:dyDescent="0.4">
      <c r="B37" s="5" t="str">
        <f t="shared" si="10"/>
        <v>G</v>
      </c>
      <c r="C37" s="21">
        <f t="shared" si="11"/>
        <v>0</v>
      </c>
      <c r="D37" s="21">
        <f t="shared" si="11"/>
        <v>0</v>
      </c>
      <c r="E37" s="21">
        <f t="shared" si="11"/>
        <v>0</v>
      </c>
      <c r="F37" s="21">
        <f t="shared" si="11"/>
        <v>0</v>
      </c>
      <c r="G37" s="21">
        <f t="shared" si="11"/>
        <v>0.13680278410054497</v>
      </c>
      <c r="H37" s="21">
        <f t="shared" si="11"/>
        <v>0.13680278410054497</v>
      </c>
      <c r="I37" s="21">
        <f t="shared" si="11"/>
        <v>0.33219280948873625</v>
      </c>
      <c r="J37" s="21">
        <f t="shared" si="11"/>
        <v>0</v>
      </c>
      <c r="K37" s="21">
        <f t="shared" si="11"/>
        <v>0</v>
      </c>
      <c r="L37" s="21">
        <f t="shared" si="11"/>
        <v>0</v>
      </c>
      <c r="M37" s="21">
        <f t="shared" si="11"/>
        <v>0</v>
      </c>
      <c r="N37" s="21">
        <f t="shared" si="11"/>
        <v>0</v>
      </c>
    </row>
    <row r="38" spans="1:14" x14ac:dyDescent="0.4">
      <c r="B38" s="5" t="str">
        <f t="shared" si="10"/>
        <v>T</v>
      </c>
      <c r="C38" s="21">
        <f t="shared" si="11"/>
        <v>0.36020122098083079</v>
      </c>
      <c r="D38" s="21">
        <f t="shared" si="11"/>
        <v>0.46438561897747244</v>
      </c>
      <c r="E38" s="21">
        <f t="shared" si="11"/>
        <v>0</v>
      </c>
      <c r="F38" s="21">
        <f t="shared" si="11"/>
        <v>0</v>
      </c>
      <c r="G38" s="21">
        <f t="shared" si="11"/>
        <v>0.33219280948873625</v>
      </c>
      <c r="H38" s="21">
        <f t="shared" si="11"/>
        <v>0.33219280948873625</v>
      </c>
      <c r="I38" s="21">
        <f t="shared" si="11"/>
        <v>0</v>
      </c>
      <c r="J38" s="21">
        <f t="shared" si="11"/>
        <v>0.5</v>
      </c>
      <c r="K38" s="21">
        <f t="shared" si="11"/>
        <v>0.25754247590988982</v>
      </c>
      <c r="L38" s="21">
        <f t="shared" si="11"/>
        <v>0.36020122098083079</v>
      </c>
      <c r="M38" s="21">
        <f t="shared" si="11"/>
        <v>0.52108967824986185</v>
      </c>
      <c r="N38" s="21">
        <f t="shared" si="11"/>
        <v>0.52877123795494485</v>
      </c>
    </row>
    <row r="39" spans="1:14" x14ac:dyDescent="0.4">
      <c r="B39" s="4" t="s">
        <v>15</v>
      </c>
      <c r="C39" s="22">
        <f>SUM(C35:C38)</f>
        <v>1.1567796494470395</v>
      </c>
      <c r="D39" s="22">
        <f t="shared" ref="D39:N39" si="12">SUM(D35:D38)</f>
        <v>1.3709505944546687</v>
      </c>
      <c r="E39" s="22">
        <f t="shared" si="12"/>
        <v>0</v>
      </c>
      <c r="F39" s="22">
        <f t="shared" si="12"/>
        <v>0</v>
      </c>
      <c r="G39" s="22">
        <f t="shared" si="12"/>
        <v>0.46899559358928122</v>
      </c>
      <c r="H39" s="22">
        <f t="shared" si="12"/>
        <v>0.46899559358928122</v>
      </c>
      <c r="I39" s="22">
        <f t="shared" si="12"/>
        <v>0.46899559358928122</v>
      </c>
      <c r="J39" s="22">
        <f t="shared" si="12"/>
        <v>1.360964047443681</v>
      </c>
      <c r="K39" s="22">
        <f t="shared" si="12"/>
        <v>0.92192809488736227</v>
      </c>
      <c r="L39" s="22">
        <f t="shared" si="12"/>
        <v>1.1567796494470395</v>
      </c>
      <c r="M39" s="22">
        <f t="shared" si="12"/>
        <v>1.5709505944546684</v>
      </c>
      <c r="N39" s="22">
        <f t="shared" si="12"/>
        <v>0.97095059445466858</v>
      </c>
    </row>
    <row r="40" spans="1:14" x14ac:dyDescent="0.4">
      <c r="B40" s="4" t="s">
        <v>16</v>
      </c>
      <c r="C40" s="23">
        <f>SUM(C39:N39)</f>
        <v>9.9162900053569718</v>
      </c>
    </row>
  </sheetData>
  <conditionalFormatting sqref="C6:N15">
    <cfRule type="expression" dxfId="0" priority="1">
      <formula>NOT(OR(C6="A", C6="T",C6= "C", C6="G"))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2025-09-26T21:01:45Z</dcterms:modified>
</cp:coreProperties>
</file>